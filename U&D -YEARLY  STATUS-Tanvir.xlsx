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amgroupbangladesh-my.sharepoint.com/personal/kamal_uddin_team_com_bd/Documents/G/UnD PIC/UnD/individual cal/"/>
    </mc:Choice>
  </mc:AlternateContent>
  <xr:revisionPtr revIDLastSave="64" documentId="11_748A6113919616BDCCD87BC00F9C78277F71B962" xr6:coauthVersionLast="47" xr6:coauthVersionMax="47" xr10:uidLastSave="{3D4BD786-2AB0-4CCE-AEE8-BE6ABE47B8B2}"/>
  <bookViews>
    <workbookView xWindow="-110" yWindow="-110" windowWidth="19420" windowHeight="10300" tabRatio="935" xr2:uid="{00000000-000D-0000-FFFF-FFFF00000000}"/>
  </bookViews>
  <sheets>
    <sheet name="Tanvir " sheetId="39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8" i="39" l="1"/>
  <c r="U47" i="39"/>
  <c r="R51" i="39" s="1"/>
  <c r="U44" i="39"/>
  <c r="U41" i="39" l="1"/>
  <c r="U38" i="39" l="1"/>
  <c r="U35" i="39"/>
  <c r="U32" i="39"/>
  <c r="U29" i="39"/>
  <c r="U26" i="39"/>
  <c r="U17" i="39"/>
  <c r="U5" i="39"/>
  <c r="U8" i="39"/>
  <c r="U11" i="39"/>
  <c r="U14" i="39"/>
  <c r="U23" i="39"/>
  <c r="U20" i="39"/>
</calcChain>
</file>

<file path=xl/sharedStrings.xml><?xml version="1.0" encoding="utf-8"?>
<sst xmlns="http://schemas.openxmlformats.org/spreadsheetml/2006/main" count="275" uniqueCount="53">
  <si>
    <t xml:space="preserve">U&amp;D( Unity for development ) Together We Are </t>
  </si>
  <si>
    <t>AMT-8110</t>
  </si>
  <si>
    <t>STATUS</t>
  </si>
  <si>
    <t>IFIC Uttara Branch , Account no. - 1024411394031</t>
  </si>
  <si>
    <t>DATE :</t>
  </si>
  <si>
    <t>Deposit -2012</t>
  </si>
  <si>
    <t>Se. No.</t>
  </si>
  <si>
    <t xml:space="preserve">Name </t>
  </si>
  <si>
    <t xml:space="preserve">share </t>
  </si>
  <si>
    <t>Cell no.</t>
  </si>
  <si>
    <t xml:space="preserve">Mail Id </t>
  </si>
  <si>
    <t xml:space="preserve">Mailing address </t>
  </si>
  <si>
    <t>Jan</t>
  </si>
  <si>
    <t>Feb</t>
  </si>
  <si>
    <t>March</t>
  </si>
  <si>
    <t>April</t>
  </si>
  <si>
    <t>May</t>
  </si>
  <si>
    <t xml:space="preserve">June </t>
  </si>
  <si>
    <t>Extra -1</t>
  </si>
  <si>
    <t xml:space="preserve">July </t>
  </si>
  <si>
    <t>August</t>
  </si>
  <si>
    <t>Sept</t>
  </si>
  <si>
    <t>Extra -2</t>
  </si>
  <si>
    <t xml:space="preserve">Oct </t>
  </si>
  <si>
    <t>Novem</t>
  </si>
  <si>
    <t xml:space="preserve">Decem </t>
  </si>
  <si>
    <t xml:space="preserve">SUM </t>
  </si>
  <si>
    <t xml:space="preserve">Target </t>
  </si>
  <si>
    <t xml:space="preserve">*Tanvir </t>
  </si>
  <si>
    <t>01673615228</t>
  </si>
  <si>
    <t>tanvir.exe@gmail.com</t>
  </si>
  <si>
    <t>Deposit -2013</t>
  </si>
  <si>
    <t>SUM</t>
  </si>
  <si>
    <t>Deposit -2014</t>
  </si>
  <si>
    <t>Deposit -2015</t>
  </si>
  <si>
    <t>Deposit -2016</t>
  </si>
  <si>
    <t>Deposit -2017</t>
  </si>
  <si>
    <t>Deposit -2018</t>
  </si>
  <si>
    <t>Deposit -2019</t>
  </si>
  <si>
    <t>Deposit -2020</t>
  </si>
  <si>
    <t>Deposit -2021</t>
  </si>
  <si>
    <t>Deposit -2022</t>
  </si>
  <si>
    <t>Deposit -2023</t>
  </si>
  <si>
    <t>TOTAL</t>
  </si>
  <si>
    <t xml:space="preserve">Dues </t>
  </si>
  <si>
    <t>Deposit -2024</t>
  </si>
  <si>
    <t>Deposit -2025</t>
  </si>
  <si>
    <t>Deposit -2026</t>
  </si>
  <si>
    <t>PD</t>
  </si>
  <si>
    <t>ND</t>
  </si>
  <si>
    <t>TD</t>
  </si>
  <si>
    <t xml:space="preserve">Per head D </t>
  </si>
  <si>
    <t>June 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</si>
</sst>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2" x14ac:knownFonts="1">
    <font>
      <sz val="10"/>
      <name val="Arial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20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5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6"/>
      <name val="Arial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b/>
      <sz val="16"/>
      <color theme="1"/>
      <name val="Arial"/>
      <family val="2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6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5">
    <xf numFmtId="0" fontId="0" fillId="0" borderId="0" xfId="0"/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0" borderId="1" xfId="1" applyFont="1" applyFill="1" applyBorder="1" applyAlignment="1" applyProtection="1">
      <alignment horizontal="center" vertical="center"/>
    </xf>
    <xf numFmtId="0" fontId="13" fillId="0" borderId="1" xfId="0" quotePrefix="1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6" fillId="0" borderId="1" xfId="1" applyFont="1" applyFill="1" applyBorder="1" applyAlignment="1" applyProtection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5" xfId="0" quotePrefix="1" applyFont="1" applyBorder="1" applyAlignment="1">
      <alignment horizontal="center" vertical="center"/>
    </xf>
    <xf numFmtId="0" fontId="14" fillId="0" borderId="5" xfId="1" applyFont="1" applyFill="1" applyBorder="1" applyAlignment="1" applyProtection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0" fillId="0" borderId="8" xfId="0" applyBorder="1"/>
    <xf numFmtId="0" fontId="3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2" fillId="0" borderId="8" xfId="0" applyFont="1" applyBorder="1"/>
    <xf numFmtId="0" fontId="3" fillId="0" borderId="9" xfId="0" applyFont="1" applyBorder="1" applyAlignment="1">
      <alignment horizontal="center" vertical="center"/>
    </xf>
    <xf numFmtId="0" fontId="8" fillId="3" borderId="0" xfId="0" applyFont="1" applyFill="1"/>
    <xf numFmtId="0" fontId="10" fillId="0" borderId="10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center" vertical="center"/>
    </xf>
    <xf numFmtId="0" fontId="21" fillId="0" borderId="1" xfId="1" applyFont="1" applyFill="1" applyBorder="1" applyAlignment="1" applyProtection="1">
      <alignment horizontal="center" vertical="center"/>
    </xf>
    <xf numFmtId="0" fontId="11" fillId="0" borderId="8" xfId="0" applyFont="1" applyBorder="1"/>
    <xf numFmtId="0" fontId="19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6" xfId="0" quotePrefix="1" applyFont="1" applyBorder="1" applyAlignment="1">
      <alignment horizontal="center" vertical="center"/>
    </xf>
    <xf numFmtId="0" fontId="21" fillId="0" borderId="16" xfId="1" applyFont="1" applyFill="1" applyBorder="1" applyAlignment="1" applyProtection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16" xfId="0" applyFont="1" applyBorder="1" applyAlignment="1">
      <alignment horizontal="center" vertical="center"/>
    </xf>
    <xf numFmtId="0" fontId="20" fillId="3" borderId="16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5" xfId="0" quotePrefix="1" applyFont="1" applyBorder="1" applyAlignment="1">
      <alignment horizontal="center" vertical="center"/>
    </xf>
    <xf numFmtId="0" fontId="21" fillId="0" borderId="5" xfId="1" applyFont="1" applyFill="1" applyBorder="1" applyAlignment="1" applyProtection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3" borderId="6" xfId="0" applyFont="1" applyFill="1" applyBorder="1" applyAlignment="1">
      <alignment horizontal="center" vertical="center"/>
    </xf>
    <xf numFmtId="0" fontId="12" fillId="4" borderId="0" xfId="0" applyFont="1" applyFill="1"/>
    <xf numFmtId="0" fontId="0" fillId="4" borderId="0" xfId="0" applyFill="1"/>
    <xf numFmtId="0" fontId="17" fillId="3" borderId="6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4" fillId="0" borderId="23" xfId="1" applyFont="1" applyFill="1" applyBorder="1" applyAlignment="1" applyProtection="1">
      <alignment horizontal="center" vertical="center"/>
    </xf>
    <xf numFmtId="0" fontId="13" fillId="0" borderId="23" xfId="0" quotePrefix="1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4" fillId="0" borderId="8" xfId="1" applyFont="1" applyFill="1" applyBorder="1" applyAlignment="1" applyProtection="1">
      <alignment horizontal="center" vertical="center"/>
    </xf>
    <xf numFmtId="0" fontId="13" fillId="0" borderId="8" xfId="0" quotePrefix="1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4" borderId="6" xfId="0" applyFont="1" applyFill="1" applyBorder="1" applyAlignment="1">
      <alignment horizontal="center" vertical="center"/>
    </xf>
    <xf numFmtId="0" fontId="19" fillId="4" borderId="24" xfId="0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horizontal="center" vertical="center"/>
    </xf>
    <xf numFmtId="0" fontId="10" fillId="0" borderId="8" xfId="0" applyFont="1" applyBorder="1"/>
    <xf numFmtId="0" fontId="0" fillId="6" borderId="0" xfId="0" applyFill="1" applyAlignment="1">
      <alignment horizontal="center"/>
    </xf>
    <xf numFmtId="0" fontId="3" fillId="6" borderId="0" xfId="0" applyFont="1" applyFill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8" fillId="2" borderId="25" xfId="1" applyFont="1" applyFill="1" applyBorder="1" applyAlignment="1" applyProtection="1">
      <alignment horizontal="center" vertical="center"/>
    </xf>
    <xf numFmtId="0" fontId="9" fillId="4" borderId="0" xfId="0" applyFont="1" applyFill="1" applyAlignment="1">
      <alignment horizontal="center"/>
    </xf>
    <xf numFmtId="0" fontId="10" fillId="5" borderId="18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0" fillId="5" borderId="22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10" fillId="5" borderId="19" xfId="0" applyFont="1" applyFill="1" applyBorder="1" applyAlignment="1">
      <alignment horizontal="center" vertical="center"/>
    </xf>
    <xf numFmtId="164" fontId="2" fillId="4" borderId="18" xfId="0" applyNumberFormat="1" applyFont="1" applyFill="1" applyBorder="1" applyAlignment="1">
      <alignment horizontal="center" vertical="center" wrapText="1"/>
    </xf>
    <xf numFmtId="164" fontId="2" fillId="4" borderId="9" xfId="0" applyNumberFormat="1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anvir.ex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53"/>
  <sheetViews>
    <sheetView tabSelected="1" zoomScaleNormal="100" workbookViewId="0">
      <pane xSplit="2" ySplit="4" topLeftCell="F40" activePane="bottomRight" state="frozen"/>
      <selection pane="topRight" activeCell="C1" sqref="C1"/>
      <selection pane="bottomLeft" activeCell="A5" sqref="A5"/>
      <selection pane="bottomRight" activeCell="R51" activeCellId="1" sqref="U48 R51:S51"/>
    </sheetView>
  </sheetViews>
  <sheetFormatPr defaultRowHeight="12.5" x14ac:dyDescent="0.25"/>
  <cols>
    <col min="1" max="1" width="5.1796875" customWidth="1"/>
    <col min="2" max="2" width="23.81640625" customWidth="1"/>
    <col min="3" max="3" width="6.54296875" bestFit="1" customWidth="1"/>
    <col min="4" max="4" width="12" bestFit="1" customWidth="1"/>
    <col min="5" max="5" width="17.1796875" customWidth="1"/>
    <col min="6" max="6" width="8.54296875" customWidth="1"/>
    <col min="7" max="20" width="8" customWidth="1"/>
    <col min="21" max="21" width="13" customWidth="1"/>
  </cols>
  <sheetData>
    <row r="1" spans="1:23" s="4" customFormat="1" ht="30" customHeight="1" thickBot="1" x14ac:dyDescent="0.3">
      <c r="A1" s="3"/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86" t="s">
        <v>1</v>
      </c>
      <c r="S1" s="86"/>
      <c r="T1" s="86"/>
      <c r="U1" s="19"/>
      <c r="V1" s="16"/>
      <c r="W1" s="16"/>
    </row>
    <row r="2" spans="1:23" s="4" customFormat="1" ht="19.5" customHeight="1" x14ac:dyDescent="0.25">
      <c r="A2" s="3"/>
      <c r="B2" s="91" t="s">
        <v>2</v>
      </c>
      <c r="C2" s="91"/>
      <c r="D2" s="92"/>
      <c r="G2" s="87" t="s">
        <v>3</v>
      </c>
      <c r="H2" s="88"/>
      <c r="I2" s="88"/>
      <c r="J2" s="88"/>
      <c r="K2" s="88"/>
      <c r="L2" s="88"/>
      <c r="M2" s="88"/>
      <c r="N2" s="88"/>
      <c r="O2" s="88"/>
      <c r="P2" s="88"/>
      <c r="Q2" s="87" t="s">
        <v>4</v>
      </c>
      <c r="R2" s="93"/>
      <c r="S2" s="84">
        <v>46156</v>
      </c>
      <c r="T2" s="85"/>
      <c r="U2" s="85"/>
      <c r="V2" s="16"/>
      <c r="W2" s="16"/>
    </row>
    <row r="3" spans="1:23" s="4" customFormat="1" ht="20.5" thickBot="1" x14ac:dyDescent="0.3">
      <c r="A3" s="80" t="s">
        <v>5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2"/>
      <c r="R3" s="81"/>
      <c r="S3" s="81"/>
      <c r="T3" s="81"/>
      <c r="U3" s="81"/>
      <c r="V3" s="16"/>
      <c r="W3" s="16"/>
    </row>
    <row r="4" spans="1:23" s="4" customFormat="1" ht="37.5" customHeight="1" thickBot="1" x14ac:dyDescent="0.3">
      <c r="A4" s="21" t="s">
        <v>6</v>
      </c>
      <c r="B4" s="22" t="s">
        <v>7</v>
      </c>
      <c r="C4" s="22" t="s">
        <v>8</v>
      </c>
      <c r="D4" s="22" t="s">
        <v>9</v>
      </c>
      <c r="E4" s="22" t="s">
        <v>10</v>
      </c>
      <c r="F4" s="23" t="s">
        <v>11</v>
      </c>
      <c r="G4" s="22" t="s">
        <v>12</v>
      </c>
      <c r="H4" s="22" t="s">
        <v>13</v>
      </c>
      <c r="I4" s="22" t="s">
        <v>14</v>
      </c>
      <c r="J4" s="22" t="s">
        <v>15</v>
      </c>
      <c r="K4" s="22" t="s">
        <v>16</v>
      </c>
      <c r="L4" s="22" t="s">
        <v>17</v>
      </c>
      <c r="M4" s="24" t="s">
        <v>18</v>
      </c>
      <c r="N4" s="22" t="s">
        <v>19</v>
      </c>
      <c r="O4" s="22" t="s">
        <v>20</v>
      </c>
      <c r="P4" s="22" t="s">
        <v>21</v>
      </c>
      <c r="Q4" s="25" t="s">
        <v>22</v>
      </c>
      <c r="R4" s="22" t="s">
        <v>23</v>
      </c>
      <c r="S4" s="22" t="s">
        <v>24</v>
      </c>
      <c r="T4" s="26" t="s">
        <v>25</v>
      </c>
      <c r="U4" s="26" t="s">
        <v>26</v>
      </c>
      <c r="V4" s="27" t="s">
        <v>27</v>
      </c>
      <c r="W4" s="17"/>
    </row>
    <row r="5" spans="1:23" ht="37.5" customHeight="1" thickBot="1" x14ac:dyDescent="0.35">
      <c r="A5" s="28">
        <v>20</v>
      </c>
      <c r="B5" s="29" t="s">
        <v>28</v>
      </c>
      <c r="C5" s="30">
        <v>1</v>
      </c>
      <c r="D5" s="31" t="s">
        <v>29</v>
      </c>
      <c r="E5" s="32" t="s">
        <v>30</v>
      </c>
      <c r="F5" s="31"/>
      <c r="G5" s="30">
        <v>1000</v>
      </c>
      <c r="H5" s="30">
        <v>1000</v>
      </c>
      <c r="I5" s="30">
        <v>1000</v>
      </c>
      <c r="J5" s="30">
        <v>1000</v>
      </c>
      <c r="K5" s="30">
        <v>1000</v>
      </c>
      <c r="L5" s="30">
        <v>1000</v>
      </c>
      <c r="M5" s="30">
        <v>5000</v>
      </c>
      <c r="N5" s="30">
        <v>1000</v>
      </c>
      <c r="O5" s="30">
        <v>1000</v>
      </c>
      <c r="P5" s="30">
        <v>1000</v>
      </c>
      <c r="Q5" s="33"/>
      <c r="R5" s="30">
        <v>1000</v>
      </c>
      <c r="S5" s="30">
        <v>1000</v>
      </c>
      <c r="T5" s="30">
        <v>1000</v>
      </c>
      <c r="U5" s="34">
        <f>SUM(G5:T5)</f>
        <v>17000</v>
      </c>
      <c r="V5" s="25">
        <v>17000</v>
      </c>
      <c r="W5" s="15"/>
    </row>
    <row r="6" spans="1:23" s="4" customFormat="1" ht="14.5" thickBot="1" x14ac:dyDescent="0.3">
      <c r="A6" s="77" t="s">
        <v>31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83"/>
      <c r="R6" s="78"/>
      <c r="S6" s="78"/>
      <c r="T6" s="78"/>
      <c r="U6" s="78"/>
      <c r="V6" s="35"/>
      <c r="W6" s="16"/>
    </row>
    <row r="7" spans="1:23" ht="37.5" customHeight="1" x14ac:dyDescent="0.25">
      <c r="A7" s="36"/>
      <c r="B7" s="37"/>
      <c r="C7" s="37"/>
      <c r="D7" s="37"/>
      <c r="E7" s="37"/>
      <c r="F7" s="24"/>
      <c r="G7" s="24" t="s">
        <v>12</v>
      </c>
      <c r="H7" s="24" t="s">
        <v>13</v>
      </c>
      <c r="I7" s="24" t="s">
        <v>14</v>
      </c>
      <c r="J7" s="24" t="s">
        <v>15</v>
      </c>
      <c r="K7" s="24" t="s">
        <v>16</v>
      </c>
      <c r="L7" s="24" t="s">
        <v>17</v>
      </c>
      <c r="M7" s="24" t="s">
        <v>18</v>
      </c>
      <c r="N7" s="24" t="s">
        <v>19</v>
      </c>
      <c r="O7" s="24" t="s">
        <v>20</v>
      </c>
      <c r="P7" s="24" t="s">
        <v>21</v>
      </c>
      <c r="Q7" s="24" t="s">
        <v>22</v>
      </c>
      <c r="R7" s="24" t="s">
        <v>23</v>
      </c>
      <c r="S7" s="24" t="s">
        <v>24</v>
      </c>
      <c r="T7" s="24" t="s">
        <v>25</v>
      </c>
      <c r="U7" s="38" t="s">
        <v>32</v>
      </c>
      <c r="V7" s="27" t="s">
        <v>27</v>
      </c>
      <c r="W7" s="15"/>
    </row>
    <row r="8" spans="1:23" ht="37.5" customHeight="1" thickBot="1" x14ac:dyDescent="0.3">
      <c r="A8" s="39"/>
      <c r="B8" s="40"/>
      <c r="C8" s="41"/>
      <c r="D8" s="42"/>
      <c r="E8" s="43"/>
      <c r="F8" s="42"/>
      <c r="G8" s="40">
        <v>3000</v>
      </c>
      <c r="H8" s="40">
        <v>3000</v>
      </c>
      <c r="I8" s="41">
        <v>3000</v>
      </c>
      <c r="J8" s="41">
        <v>3000</v>
      </c>
      <c r="K8" s="41">
        <v>3000</v>
      </c>
      <c r="L8" s="41">
        <v>3000</v>
      </c>
      <c r="M8" s="41">
        <v>40000</v>
      </c>
      <c r="N8" s="41">
        <v>3000</v>
      </c>
      <c r="O8" s="41">
        <v>3000</v>
      </c>
      <c r="P8" s="41">
        <v>3000</v>
      </c>
      <c r="Q8" s="41">
        <v>5000</v>
      </c>
      <c r="R8" s="41">
        <v>3000</v>
      </c>
      <c r="S8" s="41">
        <v>3000</v>
      </c>
      <c r="T8" s="41">
        <v>3000</v>
      </c>
      <c r="U8" s="44">
        <f>SUM(G8:T8)</f>
        <v>81000</v>
      </c>
      <c r="V8" s="35">
        <v>81000</v>
      </c>
      <c r="W8" s="15"/>
    </row>
    <row r="9" spans="1:23" s="4" customFormat="1" ht="14.5" thickBot="1" x14ac:dyDescent="0.3">
      <c r="A9" s="77" t="s">
        <v>33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35"/>
      <c r="W9" s="16"/>
    </row>
    <row r="10" spans="1:23" ht="37.5" customHeight="1" x14ac:dyDescent="0.25">
      <c r="A10" s="36"/>
      <c r="B10" s="37"/>
      <c r="C10" s="37"/>
      <c r="D10" s="37"/>
      <c r="E10" s="37"/>
      <c r="F10" s="24"/>
      <c r="G10" s="24" t="s">
        <v>12</v>
      </c>
      <c r="H10" s="24" t="s">
        <v>13</v>
      </c>
      <c r="I10" s="24" t="s">
        <v>14</v>
      </c>
      <c r="J10" s="24" t="s">
        <v>15</v>
      </c>
      <c r="K10" s="24" t="s">
        <v>16</v>
      </c>
      <c r="L10" s="24" t="s">
        <v>17</v>
      </c>
      <c r="M10" s="24" t="s">
        <v>18</v>
      </c>
      <c r="N10" s="24" t="s">
        <v>19</v>
      </c>
      <c r="O10" s="24" t="s">
        <v>20</v>
      </c>
      <c r="P10" s="24" t="s">
        <v>21</v>
      </c>
      <c r="Q10" s="24" t="s">
        <v>22</v>
      </c>
      <c r="R10" s="24" t="s">
        <v>23</v>
      </c>
      <c r="S10" s="24" t="s">
        <v>24</v>
      </c>
      <c r="T10" s="24" t="s">
        <v>25</v>
      </c>
      <c r="U10" s="38" t="s">
        <v>32</v>
      </c>
      <c r="V10" s="27" t="s">
        <v>27</v>
      </c>
      <c r="W10" s="15"/>
    </row>
    <row r="11" spans="1:23" ht="37.5" customHeight="1" thickBot="1" x14ac:dyDescent="0.3">
      <c r="A11" s="39"/>
      <c r="B11" s="40"/>
      <c r="C11" s="41"/>
      <c r="D11" s="42"/>
      <c r="E11" s="43"/>
      <c r="F11" s="42"/>
      <c r="G11" s="41">
        <v>4500</v>
      </c>
      <c r="H11" s="41">
        <v>4500</v>
      </c>
      <c r="I11" s="41">
        <v>4500</v>
      </c>
      <c r="J11" s="41">
        <v>4500</v>
      </c>
      <c r="K11" s="41">
        <v>4500</v>
      </c>
      <c r="L11" s="41">
        <v>4500</v>
      </c>
      <c r="M11" s="41">
        <v>50000</v>
      </c>
      <c r="N11" s="41">
        <v>4500</v>
      </c>
      <c r="O11" s="41">
        <v>4500</v>
      </c>
      <c r="P11" s="41">
        <v>4500</v>
      </c>
      <c r="Q11" s="41"/>
      <c r="R11" s="41">
        <v>4500</v>
      </c>
      <c r="S11" s="41">
        <v>4500</v>
      </c>
      <c r="T11" s="41">
        <v>4500</v>
      </c>
      <c r="U11" s="44">
        <f>SUM(G11:T11)</f>
        <v>104000</v>
      </c>
      <c r="V11" s="35">
        <v>104000</v>
      </c>
      <c r="W11" s="15"/>
    </row>
    <row r="12" spans="1:23" s="4" customFormat="1" ht="14.5" thickBot="1" x14ac:dyDescent="0.3">
      <c r="A12" s="77" t="s">
        <v>34</v>
      </c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35"/>
      <c r="W12" s="16"/>
    </row>
    <row r="13" spans="1:23" ht="37.5" customHeight="1" x14ac:dyDescent="0.25">
      <c r="A13" s="36"/>
      <c r="B13" s="37"/>
      <c r="C13" s="37"/>
      <c r="D13" s="37"/>
      <c r="E13" s="37"/>
      <c r="F13" s="24"/>
      <c r="G13" s="24" t="s">
        <v>12</v>
      </c>
      <c r="H13" s="24" t="s">
        <v>13</v>
      </c>
      <c r="I13" s="24" t="s">
        <v>14</v>
      </c>
      <c r="J13" s="24" t="s">
        <v>15</v>
      </c>
      <c r="K13" s="24" t="s">
        <v>16</v>
      </c>
      <c r="L13" s="24" t="s">
        <v>17</v>
      </c>
      <c r="M13" s="24" t="s">
        <v>18</v>
      </c>
      <c r="N13" s="24" t="s">
        <v>19</v>
      </c>
      <c r="O13" s="24" t="s">
        <v>20</v>
      </c>
      <c r="P13" s="24" t="s">
        <v>21</v>
      </c>
      <c r="Q13" s="24" t="s">
        <v>22</v>
      </c>
      <c r="R13" s="24" t="s">
        <v>23</v>
      </c>
      <c r="S13" s="24" t="s">
        <v>24</v>
      </c>
      <c r="T13" s="24" t="s">
        <v>25</v>
      </c>
      <c r="U13" s="38" t="s">
        <v>32</v>
      </c>
      <c r="V13" s="27" t="s">
        <v>27</v>
      </c>
      <c r="W13" s="15"/>
    </row>
    <row r="14" spans="1:23" ht="37.5" customHeight="1" thickBot="1" x14ac:dyDescent="0.3">
      <c r="A14" s="39"/>
      <c r="B14" s="40"/>
      <c r="C14" s="41"/>
      <c r="D14" s="42"/>
      <c r="E14" s="43"/>
      <c r="F14" s="42"/>
      <c r="G14" s="41">
        <v>5000</v>
      </c>
      <c r="H14" s="41">
        <v>5000</v>
      </c>
      <c r="I14" s="41">
        <v>5000</v>
      </c>
      <c r="J14" s="41">
        <v>5000</v>
      </c>
      <c r="K14" s="41">
        <v>5000</v>
      </c>
      <c r="L14" s="41">
        <v>5000</v>
      </c>
      <c r="M14" s="41">
        <v>50000</v>
      </c>
      <c r="N14" s="41">
        <v>5000</v>
      </c>
      <c r="O14" s="41">
        <v>5000</v>
      </c>
      <c r="P14" s="41">
        <v>5000</v>
      </c>
      <c r="Q14" s="41"/>
      <c r="R14" s="41">
        <v>5000</v>
      </c>
      <c r="S14" s="41">
        <v>5000</v>
      </c>
      <c r="T14" s="41">
        <v>5000</v>
      </c>
      <c r="U14" s="44">
        <f>SUM(G14:T14)</f>
        <v>110000</v>
      </c>
      <c r="V14" s="35">
        <v>110000</v>
      </c>
      <c r="W14" s="15"/>
    </row>
    <row r="15" spans="1:23" s="4" customFormat="1" ht="14.5" thickBot="1" x14ac:dyDescent="0.35">
      <c r="A15" s="77" t="s">
        <v>35</v>
      </c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45"/>
      <c r="W15" s="16"/>
    </row>
    <row r="16" spans="1:23" ht="37.5" customHeight="1" x14ac:dyDescent="0.25">
      <c r="A16" s="36"/>
      <c r="B16" s="37"/>
      <c r="C16" s="37"/>
      <c r="D16" s="37"/>
      <c r="E16" s="37"/>
      <c r="F16" s="24"/>
      <c r="G16" s="24" t="s">
        <v>12</v>
      </c>
      <c r="H16" s="24" t="s">
        <v>13</v>
      </c>
      <c r="I16" s="24" t="s">
        <v>14</v>
      </c>
      <c r="J16" s="24" t="s">
        <v>15</v>
      </c>
      <c r="K16" s="24" t="s">
        <v>16</v>
      </c>
      <c r="L16" s="24" t="s">
        <v>17</v>
      </c>
      <c r="M16" s="24" t="s">
        <v>18</v>
      </c>
      <c r="N16" s="24" t="s">
        <v>19</v>
      </c>
      <c r="O16" s="24" t="s">
        <v>20</v>
      </c>
      <c r="P16" s="24" t="s">
        <v>21</v>
      </c>
      <c r="Q16" s="24" t="s">
        <v>22</v>
      </c>
      <c r="R16" s="24" t="s">
        <v>23</v>
      </c>
      <c r="S16" s="24" t="s">
        <v>24</v>
      </c>
      <c r="T16" s="24" t="s">
        <v>25</v>
      </c>
      <c r="U16" s="38" t="s">
        <v>32</v>
      </c>
      <c r="V16" s="27" t="s">
        <v>27</v>
      </c>
      <c r="W16" s="15"/>
    </row>
    <row r="17" spans="1:23" ht="37.5" customHeight="1" thickBot="1" x14ac:dyDescent="0.3">
      <c r="A17" s="39"/>
      <c r="B17" s="40"/>
      <c r="C17" s="41"/>
      <c r="D17" s="42"/>
      <c r="E17" s="43"/>
      <c r="F17" s="42"/>
      <c r="G17" s="41">
        <v>5000</v>
      </c>
      <c r="H17" s="41">
        <v>5000</v>
      </c>
      <c r="I17" s="46">
        <v>5000</v>
      </c>
      <c r="J17" s="46">
        <v>5000</v>
      </c>
      <c r="K17" s="41">
        <v>5000</v>
      </c>
      <c r="L17" s="41">
        <v>5000</v>
      </c>
      <c r="M17" s="47">
        <v>50000</v>
      </c>
      <c r="N17" s="47">
        <v>5000</v>
      </c>
      <c r="O17" s="47">
        <v>5000</v>
      </c>
      <c r="P17" s="48">
        <v>5000</v>
      </c>
      <c r="Q17" s="48"/>
      <c r="R17" s="47">
        <v>5000</v>
      </c>
      <c r="S17" s="47">
        <v>5000</v>
      </c>
      <c r="T17" s="47">
        <v>5000</v>
      </c>
      <c r="U17" s="44">
        <f>SUM(G17:T17)</f>
        <v>110000</v>
      </c>
      <c r="V17" s="35">
        <v>110000</v>
      </c>
      <c r="W17" s="15"/>
    </row>
    <row r="18" spans="1:23" ht="21" customHeight="1" thickBot="1" x14ac:dyDescent="0.3">
      <c r="A18" s="77" t="s">
        <v>36</v>
      </c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35"/>
      <c r="W18" s="15"/>
    </row>
    <row r="19" spans="1:23" ht="37.5" customHeight="1" thickBot="1" x14ac:dyDescent="0.3">
      <c r="A19" s="49"/>
      <c r="B19" s="50"/>
      <c r="C19" s="51"/>
      <c r="D19" s="52"/>
      <c r="E19" s="53"/>
      <c r="F19" s="52"/>
      <c r="G19" s="24" t="s">
        <v>12</v>
      </c>
      <c r="H19" s="24" t="s">
        <v>13</v>
      </c>
      <c r="I19" s="24" t="s">
        <v>14</v>
      </c>
      <c r="J19" s="24" t="s">
        <v>15</v>
      </c>
      <c r="K19" s="24" t="s">
        <v>16</v>
      </c>
      <c r="L19" s="24" t="s">
        <v>17</v>
      </c>
      <c r="M19" s="24" t="s">
        <v>18</v>
      </c>
      <c r="N19" s="24" t="s">
        <v>19</v>
      </c>
      <c r="O19" s="24" t="s">
        <v>20</v>
      </c>
      <c r="P19" s="24" t="s">
        <v>21</v>
      </c>
      <c r="Q19" s="24" t="s">
        <v>22</v>
      </c>
      <c r="R19" s="24" t="s">
        <v>23</v>
      </c>
      <c r="S19" s="24" t="s">
        <v>24</v>
      </c>
      <c r="T19" s="24" t="s">
        <v>25</v>
      </c>
      <c r="U19" s="38" t="s">
        <v>32</v>
      </c>
      <c r="V19" s="27" t="s">
        <v>27</v>
      </c>
      <c r="W19" s="15"/>
    </row>
    <row r="20" spans="1:23" ht="37.5" customHeight="1" thickBot="1" x14ac:dyDescent="0.3">
      <c r="A20" s="49"/>
      <c r="B20" s="50"/>
      <c r="C20" s="51"/>
      <c r="D20" s="52"/>
      <c r="E20" s="53"/>
      <c r="F20" s="52"/>
      <c r="G20" s="54">
        <v>7000</v>
      </c>
      <c r="H20" s="54">
        <v>7000</v>
      </c>
      <c r="I20" s="54">
        <v>7000</v>
      </c>
      <c r="J20" s="54">
        <v>7000</v>
      </c>
      <c r="K20" s="54">
        <v>7000</v>
      </c>
      <c r="L20" s="54">
        <v>7000</v>
      </c>
      <c r="M20" s="54">
        <v>50000</v>
      </c>
      <c r="N20" s="54">
        <v>7000</v>
      </c>
      <c r="O20" s="54">
        <v>7000</v>
      </c>
      <c r="P20" s="54">
        <v>7000</v>
      </c>
      <c r="Q20" s="55">
        <v>50000</v>
      </c>
      <c r="R20" s="54">
        <v>7000</v>
      </c>
      <c r="S20" s="54">
        <v>7000</v>
      </c>
      <c r="T20" s="55">
        <v>7000</v>
      </c>
      <c r="U20" s="44">
        <f>SUM(G20:T20)</f>
        <v>184000</v>
      </c>
      <c r="V20" s="35">
        <v>184000</v>
      </c>
      <c r="W20" s="15"/>
    </row>
    <row r="21" spans="1:23" ht="19.5" customHeight="1" thickBot="1" x14ac:dyDescent="0.3">
      <c r="A21" s="77" t="s">
        <v>37</v>
      </c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35"/>
      <c r="W21" s="15"/>
    </row>
    <row r="22" spans="1:23" ht="37.5" customHeight="1" thickBot="1" x14ac:dyDescent="0.3">
      <c r="A22" s="49"/>
      <c r="B22" s="50"/>
      <c r="C22" s="51"/>
      <c r="D22" s="52"/>
      <c r="E22" s="53"/>
      <c r="F22" s="52"/>
      <c r="G22" s="24" t="s">
        <v>12</v>
      </c>
      <c r="H22" s="24" t="s">
        <v>13</v>
      </c>
      <c r="I22" s="24" t="s">
        <v>14</v>
      </c>
      <c r="J22" s="24" t="s">
        <v>15</v>
      </c>
      <c r="K22" s="24" t="s">
        <v>16</v>
      </c>
      <c r="L22" s="24" t="s">
        <v>17</v>
      </c>
      <c r="M22" s="24" t="s">
        <v>18</v>
      </c>
      <c r="N22" s="24" t="s">
        <v>19</v>
      </c>
      <c r="O22" s="24" t="s">
        <v>20</v>
      </c>
      <c r="P22" s="24" t="s">
        <v>21</v>
      </c>
      <c r="Q22" s="24" t="s">
        <v>22</v>
      </c>
      <c r="R22" s="24" t="s">
        <v>23</v>
      </c>
      <c r="S22" s="24" t="s">
        <v>24</v>
      </c>
      <c r="T22" s="24" t="s">
        <v>25</v>
      </c>
      <c r="U22" s="38" t="s">
        <v>32</v>
      </c>
      <c r="V22" s="27" t="s">
        <v>27</v>
      </c>
      <c r="W22" s="15"/>
    </row>
    <row r="23" spans="1:23" ht="37.5" customHeight="1" thickBot="1" x14ac:dyDescent="0.3">
      <c r="A23" s="49"/>
      <c r="B23" s="50"/>
      <c r="C23" s="51"/>
      <c r="D23" s="52"/>
      <c r="E23" s="53"/>
      <c r="F23" s="52"/>
      <c r="G23" s="54">
        <v>7000</v>
      </c>
      <c r="H23" s="55">
        <v>7000</v>
      </c>
      <c r="I23" s="54">
        <v>7000</v>
      </c>
      <c r="J23" s="55">
        <v>7000</v>
      </c>
      <c r="K23" s="55">
        <v>7000</v>
      </c>
      <c r="L23" s="54">
        <v>7000</v>
      </c>
      <c r="M23" s="54"/>
      <c r="N23" s="54">
        <v>7000</v>
      </c>
      <c r="O23" s="54">
        <v>7000</v>
      </c>
      <c r="P23" s="54">
        <v>7000</v>
      </c>
      <c r="Q23" s="54"/>
      <c r="R23" s="54">
        <v>7000</v>
      </c>
      <c r="S23" s="54">
        <v>7000</v>
      </c>
      <c r="T23" s="54">
        <v>7000</v>
      </c>
      <c r="U23" s="44">
        <f>SUM(G23:T23)</f>
        <v>84000</v>
      </c>
      <c r="V23" s="35">
        <v>84000</v>
      </c>
      <c r="W23" s="15"/>
    </row>
    <row r="24" spans="1:23" ht="18.75" customHeight="1" thickBot="1" x14ac:dyDescent="0.3">
      <c r="A24" s="77" t="s">
        <v>38</v>
      </c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35"/>
      <c r="W24" s="15"/>
    </row>
    <row r="25" spans="1:23" ht="37.5" customHeight="1" thickBot="1" x14ac:dyDescent="0.3">
      <c r="A25" s="49"/>
      <c r="B25" s="50"/>
      <c r="C25" s="51"/>
      <c r="D25" s="52"/>
      <c r="E25" s="53"/>
      <c r="F25" s="52"/>
      <c r="G25" s="24" t="s">
        <v>12</v>
      </c>
      <c r="H25" s="24" t="s">
        <v>13</v>
      </c>
      <c r="I25" s="24" t="s">
        <v>14</v>
      </c>
      <c r="J25" s="24" t="s">
        <v>15</v>
      </c>
      <c r="K25" s="24" t="s">
        <v>16</v>
      </c>
      <c r="L25" s="24" t="s">
        <v>17</v>
      </c>
      <c r="M25" s="24" t="s">
        <v>18</v>
      </c>
      <c r="N25" s="24" t="s">
        <v>19</v>
      </c>
      <c r="O25" s="24" t="s">
        <v>20</v>
      </c>
      <c r="P25" s="24" t="s">
        <v>21</v>
      </c>
      <c r="Q25" s="24" t="s">
        <v>22</v>
      </c>
      <c r="R25" s="24" t="s">
        <v>23</v>
      </c>
      <c r="S25" s="24" t="s">
        <v>24</v>
      </c>
      <c r="T25" s="24" t="s">
        <v>25</v>
      </c>
      <c r="U25" s="38" t="s">
        <v>32</v>
      </c>
      <c r="V25" s="27" t="s">
        <v>27</v>
      </c>
      <c r="W25" s="15"/>
    </row>
    <row r="26" spans="1:23" ht="37.5" customHeight="1" thickBot="1" x14ac:dyDescent="0.3">
      <c r="A26" s="9"/>
      <c r="B26" s="10"/>
      <c r="C26" s="11"/>
      <c r="D26" s="12"/>
      <c r="E26" s="13"/>
      <c r="F26" s="12"/>
      <c r="G26" s="14">
        <v>7000</v>
      </c>
      <c r="H26" s="14">
        <v>7000</v>
      </c>
      <c r="I26" s="14">
        <v>7000</v>
      </c>
      <c r="J26" s="14">
        <v>7000</v>
      </c>
      <c r="K26" s="14">
        <v>7000</v>
      </c>
      <c r="L26" s="14">
        <v>7000</v>
      </c>
      <c r="M26" s="14">
        <v>20000</v>
      </c>
      <c r="N26" s="14">
        <v>7000</v>
      </c>
      <c r="O26" s="14">
        <v>7000</v>
      </c>
      <c r="P26" s="14">
        <v>7000</v>
      </c>
      <c r="Q26" s="14"/>
      <c r="R26" s="14">
        <v>7000</v>
      </c>
      <c r="S26" s="14">
        <v>7000</v>
      </c>
      <c r="T26" s="14">
        <v>7000</v>
      </c>
      <c r="U26" s="44">
        <f>SUM(G26:T26)</f>
        <v>104000</v>
      </c>
      <c r="V26" s="59">
        <v>104000</v>
      </c>
      <c r="W26" s="15"/>
    </row>
    <row r="27" spans="1:23" ht="20.25" customHeight="1" thickBot="1" x14ac:dyDescent="0.3">
      <c r="A27" s="77" t="s">
        <v>39</v>
      </c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15"/>
      <c r="W27" s="15"/>
    </row>
    <row r="28" spans="1:23" ht="37.5" customHeight="1" thickBot="1" x14ac:dyDescent="0.3">
      <c r="A28" s="9"/>
      <c r="B28" s="10"/>
      <c r="C28" s="11"/>
      <c r="D28" s="12"/>
      <c r="E28" s="13"/>
      <c r="F28" s="12"/>
      <c r="G28" s="24" t="s">
        <v>12</v>
      </c>
      <c r="H28" s="24" t="s">
        <v>13</v>
      </c>
      <c r="I28" s="24" t="s">
        <v>14</v>
      </c>
      <c r="J28" s="24" t="s">
        <v>15</v>
      </c>
      <c r="K28" s="24" t="s">
        <v>16</v>
      </c>
      <c r="L28" s="24" t="s">
        <v>17</v>
      </c>
      <c r="M28" s="24" t="s">
        <v>18</v>
      </c>
      <c r="N28" s="24" t="s">
        <v>19</v>
      </c>
      <c r="O28" s="24" t="s">
        <v>20</v>
      </c>
      <c r="P28" s="24" t="s">
        <v>21</v>
      </c>
      <c r="Q28" s="24" t="s">
        <v>22</v>
      </c>
      <c r="R28" s="24" t="s">
        <v>23</v>
      </c>
      <c r="S28" s="24" t="s">
        <v>24</v>
      </c>
      <c r="T28" s="24" t="s">
        <v>25</v>
      </c>
      <c r="U28" s="38" t="s">
        <v>32</v>
      </c>
      <c r="V28" s="27" t="s">
        <v>27</v>
      </c>
      <c r="W28" s="15"/>
    </row>
    <row r="29" spans="1:23" ht="37.5" customHeight="1" thickBot="1" x14ac:dyDescent="0.3">
      <c r="A29" s="9"/>
      <c r="B29" s="10"/>
      <c r="C29" s="11"/>
      <c r="D29" s="12"/>
      <c r="E29" s="13"/>
      <c r="F29" s="12"/>
      <c r="G29" s="14">
        <v>7000</v>
      </c>
      <c r="H29" s="14">
        <v>7000</v>
      </c>
      <c r="I29" s="14">
        <v>7000</v>
      </c>
      <c r="J29" s="14">
        <v>7000</v>
      </c>
      <c r="K29" s="14">
        <v>7000</v>
      </c>
      <c r="L29" s="14">
        <v>7000</v>
      </c>
      <c r="M29" s="14"/>
      <c r="N29" s="14">
        <v>7000</v>
      </c>
      <c r="O29" s="14">
        <v>7000</v>
      </c>
      <c r="P29" s="58">
        <v>7000</v>
      </c>
      <c r="Q29" s="14"/>
      <c r="R29" s="14">
        <v>7000</v>
      </c>
      <c r="S29" s="14">
        <v>7000</v>
      </c>
      <c r="T29" s="14">
        <v>7000</v>
      </c>
      <c r="U29" s="44">
        <f>SUM(G29:T29)</f>
        <v>84000</v>
      </c>
      <c r="V29" s="59">
        <v>84000</v>
      </c>
      <c r="W29" s="15"/>
    </row>
    <row r="30" spans="1:23" ht="37.5" customHeight="1" thickBot="1" x14ac:dyDescent="0.3">
      <c r="A30" s="77" t="s">
        <v>40</v>
      </c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15"/>
      <c r="W30" s="15"/>
    </row>
    <row r="31" spans="1:23" ht="37.5" customHeight="1" thickBot="1" x14ac:dyDescent="0.3">
      <c r="A31" s="9"/>
      <c r="B31" s="10"/>
      <c r="C31" s="11"/>
      <c r="D31" s="12"/>
      <c r="E31" s="13"/>
      <c r="F31" s="12"/>
      <c r="G31" s="24" t="s">
        <v>12</v>
      </c>
      <c r="H31" s="24" t="s">
        <v>13</v>
      </c>
      <c r="I31" s="24" t="s">
        <v>14</v>
      </c>
      <c r="J31" s="24" t="s">
        <v>15</v>
      </c>
      <c r="K31" s="24" t="s">
        <v>16</v>
      </c>
      <c r="L31" s="24" t="s">
        <v>17</v>
      </c>
      <c r="M31" s="24" t="s">
        <v>18</v>
      </c>
      <c r="N31" s="24" t="s">
        <v>19</v>
      </c>
      <c r="O31" s="24" t="s">
        <v>20</v>
      </c>
      <c r="P31" s="24" t="s">
        <v>21</v>
      </c>
      <c r="Q31" s="24" t="s">
        <v>22</v>
      </c>
      <c r="R31" s="24" t="s">
        <v>23</v>
      </c>
      <c r="S31" s="24" t="s">
        <v>24</v>
      </c>
      <c r="T31" s="24" t="s">
        <v>25</v>
      </c>
      <c r="U31" s="38" t="s">
        <v>32</v>
      </c>
      <c r="V31" s="27" t="s">
        <v>27</v>
      </c>
      <c r="W31" s="15"/>
    </row>
    <row r="32" spans="1:23" ht="37.5" customHeight="1" thickBot="1" x14ac:dyDescent="0.3">
      <c r="A32" s="9"/>
      <c r="B32" s="10"/>
      <c r="C32" s="11"/>
      <c r="D32" s="12"/>
      <c r="E32" s="13"/>
      <c r="F32" s="12"/>
      <c r="G32" s="54">
        <v>7000</v>
      </c>
      <c r="H32" s="54">
        <v>7000</v>
      </c>
      <c r="I32" s="54">
        <v>7000</v>
      </c>
      <c r="J32" s="54">
        <v>7000</v>
      </c>
      <c r="K32" s="54">
        <v>7000</v>
      </c>
      <c r="L32" s="54">
        <v>7000</v>
      </c>
      <c r="M32" s="54"/>
      <c r="N32" s="54">
        <v>7000</v>
      </c>
      <c r="O32" s="54">
        <v>7000</v>
      </c>
      <c r="P32" s="54">
        <v>7000</v>
      </c>
      <c r="Q32" s="54"/>
      <c r="R32" s="54">
        <v>7000</v>
      </c>
      <c r="S32" s="54">
        <v>7000</v>
      </c>
      <c r="T32" s="54">
        <v>7000</v>
      </c>
      <c r="U32" s="44">
        <f>SUM(G32:T32)</f>
        <v>84000</v>
      </c>
      <c r="V32" s="59">
        <v>84000</v>
      </c>
      <c r="W32" s="15"/>
    </row>
    <row r="33" spans="1:25" ht="37.5" customHeight="1" thickBot="1" x14ac:dyDescent="0.3">
      <c r="A33" s="77" t="s">
        <v>41</v>
      </c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15"/>
      <c r="W33" s="15"/>
    </row>
    <row r="34" spans="1:25" ht="37.5" customHeight="1" thickBot="1" x14ac:dyDescent="0.3">
      <c r="A34" s="9"/>
      <c r="B34" s="10"/>
      <c r="C34" s="11"/>
      <c r="D34" s="12"/>
      <c r="E34" s="13"/>
      <c r="F34" s="12"/>
      <c r="G34" s="24" t="s">
        <v>12</v>
      </c>
      <c r="H34" s="24" t="s">
        <v>13</v>
      </c>
      <c r="I34" s="24" t="s">
        <v>14</v>
      </c>
      <c r="J34" s="24" t="s">
        <v>15</v>
      </c>
      <c r="K34" s="24" t="s">
        <v>16</v>
      </c>
      <c r="L34" s="24" t="s">
        <v>17</v>
      </c>
      <c r="M34" s="24" t="s">
        <v>18</v>
      </c>
      <c r="N34" s="24" t="s">
        <v>19</v>
      </c>
      <c r="O34" s="24" t="s">
        <v>20</v>
      </c>
      <c r="P34" s="24" t="s">
        <v>21</v>
      </c>
      <c r="Q34" s="24" t="s">
        <v>22</v>
      </c>
      <c r="R34" s="24" t="s">
        <v>23</v>
      </c>
      <c r="S34" s="24" t="s">
        <v>24</v>
      </c>
      <c r="T34" s="24" t="s">
        <v>25</v>
      </c>
      <c r="U34" s="38" t="s">
        <v>32</v>
      </c>
      <c r="V34" s="27" t="s">
        <v>27</v>
      </c>
      <c r="W34" s="15"/>
    </row>
    <row r="35" spans="1:25" ht="37.5" customHeight="1" thickBot="1" x14ac:dyDescent="0.3">
      <c r="A35" s="9"/>
      <c r="B35" s="10"/>
      <c r="C35" s="11"/>
      <c r="D35" s="12"/>
      <c r="E35" s="13"/>
      <c r="F35" s="12"/>
      <c r="G35" s="54">
        <v>7000</v>
      </c>
      <c r="H35" s="54">
        <v>7000</v>
      </c>
      <c r="I35" s="54">
        <v>7000</v>
      </c>
      <c r="J35" s="54">
        <v>7000</v>
      </c>
      <c r="K35" s="54">
        <v>7000</v>
      </c>
      <c r="L35" s="54">
        <v>7000</v>
      </c>
      <c r="M35" s="54"/>
      <c r="N35" s="54">
        <v>7000</v>
      </c>
      <c r="O35" s="54">
        <v>7000</v>
      </c>
      <c r="P35" s="54">
        <v>7000</v>
      </c>
      <c r="Q35" s="54"/>
      <c r="R35" s="54">
        <v>7000</v>
      </c>
      <c r="S35" s="54">
        <v>7000</v>
      </c>
      <c r="T35" s="54">
        <v>7000</v>
      </c>
      <c r="U35" s="44">
        <f>SUM(G35:T35)</f>
        <v>84000</v>
      </c>
      <c r="V35" s="59">
        <v>84000</v>
      </c>
      <c r="W35" s="15"/>
    </row>
    <row r="36" spans="1:25" ht="37.5" customHeight="1" thickBot="1" x14ac:dyDescent="0.3">
      <c r="A36" s="77" t="s">
        <v>42</v>
      </c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15"/>
      <c r="W36" s="15"/>
    </row>
    <row r="37" spans="1:25" ht="37.5" customHeight="1" thickBot="1" x14ac:dyDescent="0.3">
      <c r="A37" s="9"/>
      <c r="B37" s="10"/>
      <c r="C37" s="11"/>
      <c r="D37" s="12"/>
      <c r="E37" s="13"/>
      <c r="F37" s="12"/>
      <c r="G37" s="24" t="s">
        <v>12</v>
      </c>
      <c r="H37" s="24" t="s">
        <v>13</v>
      </c>
      <c r="I37" s="24" t="s">
        <v>14</v>
      </c>
      <c r="J37" s="24" t="s">
        <v>15</v>
      </c>
      <c r="K37" s="24" t="s">
        <v>16</v>
      </c>
      <c r="L37" s="24" t="s">
        <v>17</v>
      </c>
      <c r="M37" s="24" t="s">
        <v>18</v>
      </c>
      <c r="N37" s="24" t="s">
        <v>19</v>
      </c>
      <c r="O37" s="24" t="s">
        <v>20</v>
      </c>
      <c r="P37" s="24" t="s">
        <v>21</v>
      </c>
      <c r="Q37" s="24" t="s">
        <v>22</v>
      </c>
      <c r="R37" s="24" t="s">
        <v>23</v>
      </c>
      <c r="S37" s="24" t="s">
        <v>24</v>
      </c>
      <c r="T37" s="24" t="s">
        <v>25</v>
      </c>
      <c r="U37" s="38" t="s">
        <v>32</v>
      </c>
      <c r="V37" s="27" t="s">
        <v>27</v>
      </c>
      <c r="W37" s="15"/>
    </row>
    <row r="38" spans="1:25" ht="37.5" customHeight="1" thickBot="1" x14ac:dyDescent="0.3">
      <c r="A38" s="9"/>
      <c r="B38" s="10"/>
      <c r="C38" s="11"/>
      <c r="D38" s="12"/>
      <c r="E38" s="13"/>
      <c r="F38" s="12"/>
      <c r="G38" s="54">
        <v>10000</v>
      </c>
      <c r="H38" s="54">
        <v>10000</v>
      </c>
      <c r="I38" s="54">
        <v>10000</v>
      </c>
      <c r="J38" s="54">
        <v>10000</v>
      </c>
      <c r="K38" s="54">
        <v>10000</v>
      </c>
      <c r="L38" s="54">
        <v>10000</v>
      </c>
      <c r="M38" s="68"/>
      <c r="N38" s="54">
        <v>10000</v>
      </c>
      <c r="O38" s="54">
        <v>10000</v>
      </c>
      <c r="P38" s="54">
        <v>10000</v>
      </c>
      <c r="Q38" s="55"/>
      <c r="R38" s="54">
        <v>10000</v>
      </c>
      <c r="S38" s="54">
        <v>10000</v>
      </c>
      <c r="T38" s="54">
        <v>10000</v>
      </c>
      <c r="U38" s="44">
        <f>SUM(G38:T38)</f>
        <v>120000</v>
      </c>
      <c r="V38" s="59">
        <v>170000</v>
      </c>
      <c r="W38" s="15"/>
    </row>
    <row r="39" spans="1:25" ht="37.5" customHeight="1" thickBot="1" x14ac:dyDescent="0.3">
      <c r="A39" s="77" t="s">
        <v>45</v>
      </c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59"/>
      <c r="W39" s="15"/>
    </row>
    <row r="40" spans="1:25" ht="37.5" customHeight="1" thickBot="1" x14ac:dyDescent="0.3">
      <c r="A40" s="9"/>
      <c r="B40" s="10"/>
      <c r="C40" s="11"/>
      <c r="D40" s="12"/>
      <c r="E40" s="13"/>
      <c r="F40" s="12"/>
      <c r="G40" s="54" t="s">
        <v>12</v>
      </c>
      <c r="H40" s="54" t="s">
        <v>13</v>
      </c>
      <c r="I40" s="54" t="s">
        <v>14</v>
      </c>
      <c r="J40" s="54" t="s">
        <v>15</v>
      </c>
      <c r="K40" s="54" t="s">
        <v>16</v>
      </c>
      <c r="L40" s="54" t="s">
        <v>17</v>
      </c>
      <c r="M40" s="54" t="s">
        <v>18</v>
      </c>
      <c r="N40" s="54" t="s">
        <v>19</v>
      </c>
      <c r="O40" s="54" t="s">
        <v>20</v>
      </c>
      <c r="P40" s="54" t="s">
        <v>21</v>
      </c>
      <c r="Q40" s="54" t="s">
        <v>22</v>
      </c>
      <c r="R40" s="54" t="s">
        <v>23</v>
      </c>
      <c r="S40" s="54" t="s">
        <v>24</v>
      </c>
      <c r="T40" s="54" t="s">
        <v>25</v>
      </c>
      <c r="U40" s="60" t="s">
        <v>32</v>
      </c>
      <c r="V40" s="27" t="s">
        <v>27</v>
      </c>
      <c r="W40" s="15"/>
    </row>
    <row r="41" spans="1:25" ht="37.5" customHeight="1" thickBot="1" x14ac:dyDescent="0.3">
      <c r="A41" s="9"/>
      <c r="B41" s="10"/>
      <c r="C41" s="11"/>
      <c r="D41" s="12"/>
      <c r="E41" s="61"/>
      <c r="F41" s="62"/>
      <c r="G41" s="63">
        <v>10000</v>
      </c>
      <c r="H41" s="63">
        <v>10000</v>
      </c>
      <c r="I41" s="63">
        <v>10000</v>
      </c>
      <c r="J41" s="63">
        <v>10000</v>
      </c>
      <c r="K41" s="63">
        <v>10000</v>
      </c>
      <c r="L41" s="63">
        <v>10000</v>
      </c>
      <c r="M41" s="69">
        <v>0</v>
      </c>
      <c r="N41" s="63">
        <v>10000</v>
      </c>
      <c r="O41" s="63">
        <v>10000</v>
      </c>
      <c r="P41" s="63">
        <v>10000</v>
      </c>
      <c r="Q41" s="63">
        <v>0</v>
      </c>
      <c r="R41" s="63">
        <v>10000</v>
      </c>
      <c r="S41" s="63">
        <v>10000</v>
      </c>
      <c r="T41" s="63">
        <v>10000</v>
      </c>
      <c r="U41" s="44">
        <f>SUM(G41:T41)</f>
        <v>120000</v>
      </c>
      <c r="V41" s="27">
        <v>170000</v>
      </c>
      <c r="W41" s="15"/>
    </row>
    <row r="42" spans="1:25" ht="37.5" customHeight="1" thickBot="1" x14ac:dyDescent="0.3">
      <c r="A42" s="77" t="s">
        <v>46</v>
      </c>
      <c r="B42" s="78"/>
      <c r="C42" s="78"/>
      <c r="D42" s="78"/>
      <c r="E42" s="78"/>
      <c r="F42" s="78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27"/>
      <c r="W42" s="15"/>
    </row>
    <row r="43" spans="1:25" ht="37.5" customHeight="1" thickBot="1" x14ac:dyDescent="0.3">
      <c r="A43" s="9"/>
      <c r="B43" s="10"/>
      <c r="C43" s="11"/>
      <c r="D43" s="12"/>
      <c r="E43" s="64"/>
      <c r="F43" s="65"/>
      <c r="G43" s="25" t="s">
        <v>12</v>
      </c>
      <c r="H43" s="25" t="s">
        <v>13</v>
      </c>
      <c r="I43" s="25" t="s">
        <v>14</v>
      </c>
      <c r="J43" s="25" t="s">
        <v>15</v>
      </c>
      <c r="K43" s="25" t="s">
        <v>16</v>
      </c>
      <c r="L43" s="25" t="s">
        <v>17</v>
      </c>
      <c r="M43" s="25" t="s">
        <v>18</v>
      </c>
      <c r="N43" s="25" t="s">
        <v>19</v>
      </c>
      <c r="O43" s="25" t="s">
        <v>20</v>
      </c>
      <c r="P43" s="25" t="s">
        <v>21</v>
      </c>
      <c r="Q43" s="25" t="s">
        <v>22</v>
      </c>
      <c r="R43" s="25" t="s">
        <v>23</v>
      </c>
      <c r="S43" s="25" t="s">
        <v>24</v>
      </c>
      <c r="T43" s="25" t="s">
        <v>25</v>
      </c>
      <c r="U43" s="25" t="s">
        <v>32</v>
      </c>
      <c r="V43" s="27" t="s">
        <v>27</v>
      </c>
      <c r="W43" s="15"/>
    </row>
    <row r="44" spans="1:25" ht="37.5" customHeight="1" thickBot="1" x14ac:dyDescent="0.3">
      <c r="A44" s="9"/>
      <c r="B44" s="10"/>
      <c r="C44" s="11"/>
      <c r="D44" s="12"/>
      <c r="E44" s="13"/>
      <c r="F44" s="12"/>
      <c r="G44" s="66">
        <v>10000</v>
      </c>
      <c r="H44" s="66">
        <v>10000</v>
      </c>
      <c r="I44" s="66">
        <v>10000</v>
      </c>
      <c r="J44" s="66">
        <v>10000</v>
      </c>
      <c r="K44" s="66">
        <v>10000</v>
      </c>
      <c r="L44" s="66">
        <v>10000</v>
      </c>
      <c r="M44" s="70">
        <v>0</v>
      </c>
      <c r="N44" s="66">
        <v>10000</v>
      </c>
      <c r="O44" s="66">
        <v>10000</v>
      </c>
      <c r="P44" s="66">
        <v>10000</v>
      </c>
      <c r="Q44" s="66">
        <v>0</v>
      </c>
      <c r="R44" s="66">
        <v>10000</v>
      </c>
      <c r="S44" s="66">
        <v>10000</v>
      </c>
      <c r="T44" s="66">
        <v>10000</v>
      </c>
      <c r="U44" s="44">
        <f>SUM(G44:T44)</f>
        <v>120000</v>
      </c>
      <c r="V44" s="27">
        <v>170000</v>
      </c>
      <c r="W44" s="15"/>
    </row>
    <row r="45" spans="1:25" ht="37.5" customHeight="1" thickBot="1" x14ac:dyDescent="0.3">
      <c r="A45" s="80" t="s">
        <v>47</v>
      </c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2"/>
      <c r="R45" s="81"/>
      <c r="S45" s="81"/>
      <c r="T45" s="81"/>
      <c r="U45" s="82"/>
      <c r="V45" s="27"/>
      <c r="W45" s="15"/>
    </row>
    <row r="46" spans="1:25" ht="37.5" customHeight="1" thickBot="1" x14ac:dyDescent="0.35">
      <c r="A46" s="9"/>
      <c r="B46" s="10"/>
      <c r="C46" s="11"/>
      <c r="D46" s="12"/>
      <c r="E46" s="13"/>
      <c r="F46" s="12"/>
      <c r="G46" s="22" t="s">
        <v>12</v>
      </c>
      <c r="H46" s="22" t="s">
        <v>13</v>
      </c>
      <c r="I46" s="22" t="s">
        <v>14</v>
      </c>
      <c r="J46" s="22" t="s">
        <v>15</v>
      </c>
      <c r="K46" s="22" t="s">
        <v>16</v>
      </c>
      <c r="L46" s="22" t="s">
        <v>17</v>
      </c>
      <c r="M46" s="24" t="s">
        <v>18</v>
      </c>
      <c r="N46" s="22" t="s">
        <v>19</v>
      </c>
      <c r="O46" s="22" t="s">
        <v>20</v>
      </c>
      <c r="P46" s="22" t="s">
        <v>21</v>
      </c>
      <c r="Q46" s="25" t="s">
        <v>22</v>
      </c>
      <c r="R46" s="22" t="s">
        <v>23</v>
      </c>
      <c r="S46" s="22" t="s">
        <v>24</v>
      </c>
      <c r="T46" s="26" t="s">
        <v>25</v>
      </c>
      <c r="U46" s="27" t="s">
        <v>26</v>
      </c>
      <c r="V46" s="15"/>
      <c r="W46" s="15"/>
      <c r="X46" s="71">
        <v>1416000</v>
      </c>
      <c r="Y46" s="59" t="s">
        <v>48</v>
      </c>
    </row>
    <row r="47" spans="1:25" ht="37.5" customHeight="1" thickBot="1" x14ac:dyDescent="0.3">
      <c r="A47" s="9"/>
      <c r="B47" s="10"/>
      <c r="C47" s="11"/>
      <c r="D47" s="12"/>
      <c r="E47" s="13"/>
      <c r="F47" s="12"/>
      <c r="G47" s="22">
        <v>10000</v>
      </c>
      <c r="H47" s="22">
        <v>10000</v>
      </c>
      <c r="I47" s="22">
        <v>10000</v>
      </c>
      <c r="J47" s="94">
        <v>10000</v>
      </c>
      <c r="K47" s="74"/>
      <c r="L47" s="74"/>
      <c r="M47" s="68">
        <v>0</v>
      </c>
      <c r="N47" s="22"/>
      <c r="O47" s="22"/>
      <c r="P47" s="22"/>
      <c r="Q47" s="67"/>
      <c r="R47" s="22"/>
      <c r="S47" s="22"/>
      <c r="T47" s="26"/>
      <c r="U47" s="25">
        <f>SUM(G47:T47)</f>
        <v>40000</v>
      </c>
      <c r="V47" s="15"/>
      <c r="W47" s="15"/>
      <c r="X47" s="15">
        <v>20000</v>
      </c>
      <c r="Y47" s="59" t="s">
        <v>49</v>
      </c>
    </row>
    <row r="48" spans="1:25" ht="24.75" customHeight="1" thickBot="1" x14ac:dyDescent="0.35">
      <c r="A48" s="2"/>
      <c r="B48" s="1"/>
      <c r="C48" s="1"/>
      <c r="D48" s="1"/>
      <c r="E48" s="7" t="s">
        <v>43</v>
      </c>
      <c r="F48" s="6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8"/>
      <c r="U48" s="75">
        <f>SUM(U5:U47)</f>
        <v>1446000</v>
      </c>
      <c r="V48" s="15"/>
      <c r="W48" s="18"/>
      <c r="X48" s="15">
        <v>1436000</v>
      </c>
      <c r="Y48" s="59" t="s">
        <v>50</v>
      </c>
    </row>
    <row r="51" spans="2:20" ht="20" x14ac:dyDescent="0.4">
      <c r="B51" s="72" t="s">
        <v>51</v>
      </c>
      <c r="P51" s="56" t="s">
        <v>44</v>
      </c>
      <c r="Q51" s="57"/>
      <c r="R51" s="76">
        <f>1556000+50000+60000-U48</f>
        <v>220000</v>
      </c>
      <c r="S51" s="76"/>
    </row>
    <row r="52" spans="2:20" x14ac:dyDescent="0.25">
      <c r="B52" s="72">
        <v>1666000</v>
      </c>
    </row>
    <row r="53" spans="2:20" ht="19" x14ac:dyDescent="0.4">
      <c r="B53" s="73" t="s">
        <v>52</v>
      </c>
      <c r="S53" s="20"/>
      <c r="T53" s="20"/>
    </row>
  </sheetData>
  <mergeCells count="22">
    <mergeCell ref="A6:U6"/>
    <mergeCell ref="S2:U2"/>
    <mergeCell ref="A3:U3"/>
    <mergeCell ref="R1:T1"/>
    <mergeCell ref="G2:P2"/>
    <mergeCell ref="B1:Q1"/>
    <mergeCell ref="B2:D2"/>
    <mergeCell ref="Q2:R2"/>
    <mergeCell ref="R51:S51"/>
    <mergeCell ref="A18:U18"/>
    <mergeCell ref="A21:U21"/>
    <mergeCell ref="A9:U9"/>
    <mergeCell ref="A12:U12"/>
    <mergeCell ref="A15:U15"/>
    <mergeCell ref="A24:U24"/>
    <mergeCell ref="A27:U27"/>
    <mergeCell ref="A30:U30"/>
    <mergeCell ref="A33:U33"/>
    <mergeCell ref="A36:U36"/>
    <mergeCell ref="A39:U39"/>
    <mergeCell ref="A42:U42"/>
    <mergeCell ref="A45:U45"/>
  </mergeCells>
  <hyperlinks>
    <hyperlink ref="E5" r:id="rId1" xr:uid="{00000000-0004-0000-0000-000000000000}"/>
  </hyperlinks>
  <pageMargins left="0.28000000000000003" right="0.17" top="1" bottom="1" header="0.5" footer="0.5"/>
  <pageSetup paperSize="9" scale="65" fitToHeight="2" orientation="landscape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Tanvir </vt:lpstr>
    </vt:vector>
  </TitlesOfParts>
  <Manager/>
  <Company>Smart Technologies (BD)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k-uddin</dc:creator>
  <cp:keywords/>
  <dc:description/>
  <cp:lastModifiedBy>Kamal</cp:lastModifiedBy>
  <cp:revision/>
  <dcterms:created xsi:type="dcterms:W3CDTF">2012-01-09T12:01:46Z</dcterms:created>
  <dcterms:modified xsi:type="dcterms:W3CDTF">2026-05-14T06:12:41Z</dcterms:modified>
  <cp:category/>
  <cp:contentStatus/>
</cp:coreProperties>
</file>